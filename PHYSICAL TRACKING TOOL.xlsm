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9672"/>
  </bookViews>
  <sheets>
    <sheet name="ENTRY VALIDATION" sheetId="2" r:id="rId1"/>
    <sheet name="MASTERS" sheetId="4" r:id="rId2"/>
  </sheets>
  <functionGroups builtInGroupCount="17"/>
  <definedNames>
    <definedName name="DATA1">MASTERS!$A:$B</definedName>
    <definedName name="DATA10">MASTERS!$S:$T</definedName>
    <definedName name="DATA11">MASTERS!$U:$V</definedName>
    <definedName name="DATA12">MASTERS!$W:$X</definedName>
    <definedName name="DATA2">MASTERS!$C:$D</definedName>
    <definedName name="DATA3">MASTERS!$E:$F</definedName>
    <definedName name="DATA4">MASTERS!$G:$H</definedName>
    <definedName name="DATA5">MASTERS!$I:$J</definedName>
    <definedName name="DATA6">MASTERS!$K:$L</definedName>
    <definedName name="DATA7">MASTERS!$M:$N</definedName>
    <definedName name="DATA8">MASTERS!$O:$P</definedName>
    <definedName name="DATA9">MASTERS!$Q:$R</definedName>
    <definedName name="ENTERED">OFFSET('ENTRY VALIDATION'!$A$10,0,0,COUNTA('ENTRY VALIDATION'!$A$10:$A$1048576),8)</definedName>
    <definedName name="ENTERED2">OFFSET('ENTRY VALIDATION'!$A$11,0,0,COUNTA('ENTRY VALIDATION'!$A$10:$A$1048576),8)</definedName>
    <definedName name="guru">OFFSET(#REF!,0,0,COUNTA(#REF!),12)</definedName>
    <definedName name="Header">OFFSET(#REF!,0,0,COUNTA(#REF!),5)</definedName>
    <definedName name="TRACK_NUM">OFFSET('ENTRY VALIDATION'!$A$10,0,0,COUNTA('ENTRY VALIDATION'!$A$10:$A$1048576),1)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2" l="1"/>
  <c r="A2" i="2"/>
  <c r="A4" i="2"/>
  <c r="L8" i="2" l="1"/>
  <c r="K8" i="2"/>
  <c r="J8" i="2"/>
  <c r="I8" i="2"/>
  <c r="D1" i="2"/>
  <c r="C1" i="2"/>
  <c r="M3" i="2" l="1"/>
  <c r="M2" i="2" s="1"/>
  <c r="L3" i="2"/>
  <c r="L2" i="2" s="1"/>
  <c r="K3" i="2"/>
  <c r="K2" i="2" s="1"/>
  <c r="J3" i="2"/>
  <c r="J2" i="2" s="1"/>
  <c r="I3" i="2"/>
  <c r="I2" i="2" s="1"/>
  <c r="H3" i="2"/>
  <c r="H2" i="2" s="1"/>
  <c r="G3" i="2"/>
  <c r="G2" i="2" s="1"/>
  <c r="F3" i="2"/>
  <c r="F2" i="2" s="1"/>
  <c r="E3" i="2"/>
  <c r="E2" i="2" s="1"/>
  <c r="D3" i="2"/>
  <c r="D2" i="2" s="1"/>
  <c r="C3" i="2"/>
  <c r="C2" i="2" s="1"/>
  <c r="B3" i="2"/>
  <c r="B2" i="2" s="1"/>
  <c r="B1" i="2" l="1"/>
</calcChain>
</file>

<file path=xl/sharedStrings.xml><?xml version="1.0" encoding="utf-8"?>
<sst xmlns="http://schemas.openxmlformats.org/spreadsheetml/2006/main" count="115" uniqueCount="63">
  <si>
    <t>DATE</t>
  </si>
  <si>
    <t>FH_TAX_NO</t>
  </si>
  <si>
    <t>INVESTOR_NAME</t>
  </si>
  <si>
    <t>AAAAA0000A</t>
  </si>
  <si>
    <t>GOVIND YADAV</t>
  </si>
  <si>
    <t>AAAAA1111A</t>
  </si>
  <si>
    <t>AAAAA0151B</t>
  </si>
  <si>
    <t>AMWAY INDIA ENTERPRISES EMPLOYEES SUPERANNUATION FUND</t>
  </si>
  <si>
    <t>AAAAA1234A</t>
  </si>
  <si>
    <t>Asha Pareek</t>
  </si>
  <si>
    <t>Darshak Y Mehta</t>
  </si>
  <si>
    <t>AAAAA0987F</t>
  </si>
  <si>
    <t>A V Shrivallabh Priti Seva</t>
  </si>
  <si>
    <t>AAAAA0133F</t>
  </si>
  <si>
    <t>Acharya U R Huf</t>
  </si>
  <si>
    <t>SUNIL SEN GUPTA</t>
  </si>
  <si>
    <t>AAAAA0300L</t>
  </si>
  <si>
    <t>Abhyudaya Co Op Bank Limited Legal &amp; Recoverydepartment</t>
  </si>
  <si>
    <t>AAAAA3547M</t>
  </si>
  <si>
    <t>Abc Tea Workers Welfare Services</t>
  </si>
  <si>
    <t>Matheswaran M</t>
  </si>
  <si>
    <t>AAAAA1111G</t>
  </si>
  <si>
    <t>Dummy</t>
  </si>
  <si>
    <t>GOYAL RAVI CHANDRAKUMAR</t>
  </si>
  <si>
    <t>AAAAA1609G</t>
  </si>
  <si>
    <t>AMRITSAR PINJRAPOLE GAUSHALA REGD</t>
  </si>
  <si>
    <t>AAAAA1212A</t>
  </si>
  <si>
    <t>Marina Rita Fernandes</t>
  </si>
  <si>
    <t>AAAAA6531F</t>
  </si>
  <si>
    <t>Akot Shahar Nagari Path Sanstha</t>
  </si>
  <si>
    <t>Kesavamaran M</t>
  </si>
  <si>
    <t>Roopa Easwaran</t>
  </si>
  <si>
    <t>AAAAA3562E</t>
  </si>
  <si>
    <t>Aditi Trust</t>
  </si>
  <si>
    <t>AAAAA8167H</t>
  </si>
  <si>
    <t>Annapurna Nagari Sahakari Patsanstha Ltd</t>
  </si>
  <si>
    <t>Chandramala Mukharjee</t>
  </si>
  <si>
    <t>AAAAA8215A</t>
  </si>
  <si>
    <t>Archana Mahila Kalyan Samiti</t>
  </si>
  <si>
    <t>Minakshi Cazitan Ferrao</t>
  </si>
  <si>
    <t>Jignesh M Shah</t>
  </si>
  <si>
    <t>AAAAA5129P</t>
  </si>
  <si>
    <t>Aids Prevention Society</t>
  </si>
  <si>
    <t>AAAAA9069Q</t>
  </si>
  <si>
    <t>Akanksha Non Trading Corporation</t>
  </si>
  <si>
    <t>PAN #</t>
  </si>
  <si>
    <t>INVESTOR NAME</t>
  </si>
  <si>
    <t>USERNAME</t>
  </si>
  <si>
    <t>TIME</t>
  </si>
  <si>
    <t>IP ADDRESS</t>
  </si>
  <si>
    <t>ROWCOUNT</t>
  </si>
  <si>
    <t>ACTUAL TRACK#</t>
  </si>
  <si>
    <t>PAN2 #</t>
  </si>
  <si>
    <t>VALIDATION</t>
  </si>
  <si>
    <t>PAN VALIDATION</t>
  </si>
  <si>
    <t>TRACK#</t>
  </si>
  <si>
    <t>TIME FOR FILE</t>
  </si>
  <si>
    <t>MANUAL ENTRY</t>
  </si>
  <si>
    <t>MIS</t>
  </si>
  <si>
    <t>192.168.1.187</t>
  </si>
  <si>
    <t>21-06-2019</t>
  </si>
  <si>
    <t>03:01:29 PM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</si>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</sst>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"/>
  <sheetViews>
    <sheetView tabSelected="1" workbookViewId="0"/>
  </sheetViews>
  <sheetFormatPr defaultRowHeight="14.4" x14ac:dyDescent="0.3"/>
  <cols>
    <col min="1" max="1" width="12.6640625" bestFit="1" customWidth="1"/>
    <col min="2" max="2" width="15" bestFit="1" customWidth="1"/>
    <col min="3" max="3" width="12.6640625" bestFit="1" customWidth="1"/>
    <col min="4" max="4" width="36.109375" bestFit="1" customWidth="1"/>
    <col min="5" max="12" width="15" bestFit="1" customWidth="1"/>
    <col min="13" max="13" width="29.109375" bestFit="1" customWidth="1"/>
  </cols>
  <sheetData>
    <row r="1" spans="1:13" x14ac:dyDescent="0.25">
      <c r="A1" t="s">
        <v>26</v>
      </c>
      <c r="B1" t="str">
        <f>IFERROR(HLOOKUP(MAX($B$2:$M$2),$B$2:$M$3,2,0),"MANUAL ENTRY")</f>
        <v>MANUAL ENTRY</v>
      </c>
      <c r="C1" t="str">
        <f>GetData()</f>
        <v>Alka</v>
      </c>
      <c r="D1" t="str">
        <f>MID(GetIPAddress(),1,FIND(",",GetIPAddress(),1)-1)</f>
        <v>192.168.1.121</v>
      </c>
    </row>
    <row r="2" spans="1:13" x14ac:dyDescent="0.25">
      <c r="A2" t="b">
        <f>IsPAN(A1)</f>
        <v>1</v>
      </c>
      <c r="B2">
        <f t="shared" ref="B2:M2" si="0">LEN(B3)</f>
        <v>21</v>
      </c>
      <c r="C2" t="e">
        <f t="shared" si="0"/>
        <v>#N/A</v>
      </c>
      <c r="D2" t="e">
        <f t="shared" si="0"/>
        <v>#N/A</v>
      </c>
      <c r="E2" t="e">
        <f t="shared" si="0"/>
        <v>#N/A</v>
      </c>
      <c r="F2" t="e">
        <f t="shared" si="0"/>
        <v>#N/A</v>
      </c>
      <c r="G2" t="e">
        <f t="shared" si="0"/>
        <v>#N/A</v>
      </c>
      <c r="H2" t="e">
        <f t="shared" si="0"/>
        <v>#N/A</v>
      </c>
      <c r="I2" t="e">
        <f t="shared" si="0"/>
        <v>#N/A</v>
      </c>
      <c r="J2" t="e">
        <f t="shared" si="0"/>
        <v>#N/A</v>
      </c>
      <c r="K2" t="e">
        <f t="shared" si="0"/>
        <v>#N/A</v>
      </c>
      <c r="L2" t="e">
        <f t="shared" si="0"/>
        <v>#N/A</v>
      </c>
      <c r="M2" t="e">
        <f t="shared" si="0"/>
        <v>#N/A</v>
      </c>
    </row>
    <row r="3" spans="1:13" x14ac:dyDescent="0.25">
      <c r="A3" t="s">
        <v>26</v>
      </c>
      <c r="B3" t="str">
        <f>VLOOKUP(A1,DATA1,2,0)</f>
        <v>Marina Rita Fernandes</v>
      </c>
      <c r="C3" t="e">
        <f>VLOOKUP(A1,DATA2,2,0)</f>
        <v>#N/A</v>
      </c>
      <c r="D3" t="e">
        <f>VLOOKUP(A1,DATA3,2,0)</f>
        <v>#N/A</v>
      </c>
      <c r="E3" t="e">
        <f>VLOOKUP(A1,DATA4,2,0)</f>
        <v>#N/A</v>
      </c>
      <c r="F3" t="e">
        <f>VLOOKUP(A1,DATA5,2,0)</f>
        <v>#N/A</v>
      </c>
      <c r="G3" t="e">
        <f>VLOOKUP(A1,DATA6,2,0)</f>
        <v>#N/A</v>
      </c>
      <c r="H3" t="e">
        <f>VLOOKUP(A1,DATA7,2,0)</f>
        <v>#N/A</v>
      </c>
      <c r="I3" t="e">
        <f>VLOOKUP(A1,DATA8,2,0)</f>
        <v>#N/A</v>
      </c>
      <c r="J3" t="e">
        <f>VLOOKUP(A1,DATA9,2,0)</f>
        <v>#N/A</v>
      </c>
      <c r="K3" t="e">
        <f>VLOOKUP(A1,DATA10,2,0)</f>
        <v>#N/A</v>
      </c>
      <c r="L3" t="e">
        <f>VLOOKUP(A1,DATA11,2,0)</f>
        <v>#N/A</v>
      </c>
      <c r="M3" t="e">
        <f>VLOOKUP(A1,DATA12,2,0)</f>
        <v>#N/A</v>
      </c>
    </row>
    <row r="4" spans="1:13" x14ac:dyDescent="0.25">
      <c r="A4" t="b">
        <f>IsPAN(A3)</f>
        <v>1</v>
      </c>
    </row>
    <row r="7" spans="1:13" x14ac:dyDescent="0.25">
      <c r="A7" t="s">
        <v>55</v>
      </c>
      <c r="B7" t="s">
        <v>45</v>
      </c>
      <c r="C7" t="s">
        <v>52</v>
      </c>
      <c r="D7" t="s">
        <v>46</v>
      </c>
      <c r="E7" t="s">
        <v>47</v>
      </c>
      <c r="F7" t="s">
        <v>0</v>
      </c>
      <c r="G7" t="s">
        <v>48</v>
      </c>
      <c r="H7" t="s">
        <v>49</v>
      </c>
      <c r="I7" t="s">
        <v>50</v>
      </c>
      <c r="J7" t="s">
        <v>51</v>
      </c>
      <c r="K7" t="s">
        <v>53</v>
      </c>
      <c r="L7" t="s">
        <v>54</v>
      </c>
      <c r="M7" t="s">
        <v>56</v>
      </c>
    </row>
    <row r="8" spans="1:13" x14ac:dyDescent="0.25">
      <c r="I8" s="3">
        <f>COUNTA(A10:A1998)+10</f>
        <v>12</v>
      </c>
      <c r="J8">
        <f ca="1">COUNTA(TRACK_NUM)</f>
        <v>2</v>
      </c>
      <c r="K8">
        <f>COUNTA(A8:H8)</f>
        <v>0</v>
      </c>
      <c r="L8" t="b">
        <f>B8=C8</f>
        <v>1</v>
      </c>
      <c r="M8" t="str">
        <f ca="1">GetData() &amp; " " &amp;TEXT(NOW(),"dd-mmm-yyyy hh mm ss am/pm")</f>
        <v>Alka 12-Nov-2019 01 26 41 PM</v>
      </c>
    </row>
    <row r="10" spans="1:13" x14ac:dyDescent="0.25">
      <c r="A10" t="s">
        <v>55</v>
      </c>
      <c r="B10" t="s">
        <v>45</v>
      </c>
      <c r="C10" t="s">
        <v>52</v>
      </c>
      <c r="D10" t="s">
        <v>46</v>
      </c>
      <c r="E10" t="s">
        <v>47</v>
      </c>
      <c r="F10" t="s">
        <v>0</v>
      </c>
      <c r="G10" t="s">
        <v>48</v>
      </c>
      <c r="H10" t="s">
        <v>49</v>
      </c>
    </row>
    <row r="11" spans="1:13" x14ac:dyDescent="0.25">
      <c r="A11" t="s">
        <v>62</v>
      </c>
      <c r="B11" t="s">
        <v>26</v>
      </c>
      <c r="C11" t="s">
        <v>26</v>
      </c>
      <c r="D11" t="s">
        <v>57</v>
      </c>
      <c r="E11" t="s">
        <v>58</v>
      </c>
      <c r="F11" t="s">
        <v>60</v>
      </c>
      <c r="G11" t="s">
        <v>61</v>
      </c>
      <c r="H11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"/>
  <sheetViews>
    <sheetView workbookViewId="0">
      <selection activeCell="A2" sqref="A2"/>
    </sheetView>
  </sheetViews>
  <sheetFormatPr defaultRowHeight="14.4" x14ac:dyDescent="0.3"/>
  <sheetData>
    <row r="1" spans="1:24" x14ac:dyDescent="0.25">
      <c r="A1" t="s">
        <v>1</v>
      </c>
      <c r="B1" t="s">
        <v>2</v>
      </c>
      <c r="C1" t="s">
        <v>1</v>
      </c>
      <c r="D1" t="s">
        <v>2</v>
      </c>
      <c r="E1" s="1" t="s">
        <v>1</v>
      </c>
      <c r="F1" s="1" t="s">
        <v>2</v>
      </c>
      <c r="G1" s="1" t="s">
        <v>1</v>
      </c>
      <c r="H1" s="1" t="s">
        <v>2</v>
      </c>
      <c r="I1" s="2" t="s">
        <v>1</v>
      </c>
      <c r="J1" s="2" t="s">
        <v>2</v>
      </c>
      <c r="K1" t="s">
        <v>1</v>
      </c>
      <c r="L1" t="s">
        <v>2</v>
      </c>
    </row>
    <row r="2" spans="1:24" x14ac:dyDescent="0.25">
      <c r="A2" t="s">
        <v>3</v>
      </c>
      <c r="B2" t="s">
        <v>4</v>
      </c>
      <c r="C2" t="s">
        <v>3</v>
      </c>
      <c r="D2" t="s">
        <v>4</v>
      </c>
      <c r="E2" t="s">
        <v>3</v>
      </c>
      <c r="F2" t="s">
        <v>4</v>
      </c>
      <c r="G2" t="s">
        <v>3</v>
      </c>
      <c r="H2" t="s">
        <v>4</v>
      </c>
      <c r="I2" t="s">
        <v>3</v>
      </c>
      <c r="J2" t="s">
        <v>4</v>
      </c>
      <c r="K2" t="s">
        <v>3</v>
      </c>
      <c r="L2" t="s">
        <v>4</v>
      </c>
      <c r="M2" t="s">
        <v>3</v>
      </c>
      <c r="N2" t="s">
        <v>4</v>
      </c>
      <c r="O2" t="s">
        <v>3</v>
      </c>
      <c r="P2" t="s">
        <v>4</v>
      </c>
      <c r="Q2" t="s">
        <v>3</v>
      </c>
      <c r="R2" t="s">
        <v>4</v>
      </c>
      <c r="S2" t="s">
        <v>3</v>
      </c>
      <c r="T2" t="s">
        <v>4</v>
      </c>
      <c r="U2" t="s">
        <v>3</v>
      </c>
      <c r="V2" t="s">
        <v>4</v>
      </c>
      <c r="W2" t="s">
        <v>3</v>
      </c>
      <c r="X2" t="s">
        <v>4</v>
      </c>
    </row>
    <row r="3" spans="1:24" x14ac:dyDescent="0.25">
      <c r="A3" t="s">
        <v>6</v>
      </c>
      <c r="B3" t="s">
        <v>7</v>
      </c>
      <c r="C3" t="s">
        <v>8</v>
      </c>
      <c r="D3" t="s">
        <v>9</v>
      </c>
      <c r="E3" s="1" t="s">
        <v>5</v>
      </c>
      <c r="F3" s="1" t="s">
        <v>10</v>
      </c>
      <c r="G3" s="1" t="s">
        <v>11</v>
      </c>
      <c r="H3" s="1" t="s">
        <v>12</v>
      </c>
      <c r="I3" s="2" t="s">
        <v>13</v>
      </c>
      <c r="J3" s="2" t="s">
        <v>14</v>
      </c>
      <c r="K3" t="s">
        <v>8</v>
      </c>
      <c r="L3" t="s">
        <v>15</v>
      </c>
    </row>
    <row r="4" spans="1:24" x14ac:dyDescent="0.25">
      <c r="A4" t="s">
        <v>16</v>
      </c>
      <c r="B4" t="s">
        <v>17</v>
      </c>
      <c r="C4" t="s">
        <v>18</v>
      </c>
      <c r="D4" t="s">
        <v>19</v>
      </c>
      <c r="E4" s="1" t="s">
        <v>5</v>
      </c>
      <c r="F4" s="1" t="s">
        <v>20</v>
      </c>
      <c r="G4" s="1" t="s">
        <v>21</v>
      </c>
      <c r="H4" s="1" t="s">
        <v>22</v>
      </c>
      <c r="I4" s="2" t="s">
        <v>5</v>
      </c>
      <c r="J4" s="2" t="s">
        <v>23</v>
      </c>
      <c r="K4" t="s">
        <v>24</v>
      </c>
      <c r="L4" t="s">
        <v>25</v>
      </c>
    </row>
    <row r="5" spans="1:24" x14ac:dyDescent="0.25">
      <c r="A5" t="s">
        <v>26</v>
      </c>
      <c r="B5" t="s">
        <v>27</v>
      </c>
      <c r="C5" t="s">
        <v>28</v>
      </c>
      <c r="D5" t="s">
        <v>29</v>
      </c>
      <c r="E5" s="1" t="s">
        <v>5</v>
      </c>
      <c r="F5" s="1" t="s">
        <v>30</v>
      </c>
      <c r="G5" s="1" t="s">
        <v>8</v>
      </c>
      <c r="H5" s="1" t="s">
        <v>31</v>
      </c>
      <c r="I5" s="2" t="s">
        <v>32</v>
      </c>
      <c r="J5" s="2" t="s">
        <v>33</v>
      </c>
      <c r="K5" t="s">
        <v>34</v>
      </c>
      <c r="L5" t="s">
        <v>35</v>
      </c>
    </row>
    <row r="6" spans="1:24" x14ac:dyDescent="0.25">
      <c r="A6" t="s">
        <v>8</v>
      </c>
      <c r="B6" t="s">
        <v>36</v>
      </c>
      <c r="C6" t="s">
        <v>37</v>
      </c>
      <c r="D6" t="s">
        <v>38</v>
      </c>
      <c r="E6" s="1" t="s">
        <v>8</v>
      </c>
      <c r="F6" s="1" t="s">
        <v>39</v>
      </c>
      <c r="G6" s="1" t="s">
        <v>8</v>
      </c>
      <c r="H6" s="1" t="s">
        <v>40</v>
      </c>
      <c r="I6" s="2" t="s">
        <v>41</v>
      </c>
      <c r="J6" s="2" t="s">
        <v>42</v>
      </c>
      <c r="K6" t="s">
        <v>43</v>
      </c>
      <c r="L6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ENTRY VALIDATION</vt:lpstr>
      <vt:lpstr>MASTERS</vt:lpstr>
      <vt:lpstr>DATA1</vt:lpstr>
      <vt:lpstr>DATA10</vt:lpstr>
      <vt:lpstr>DATA11</vt:lpstr>
      <vt:lpstr>DATA12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KGURU</dc:creator>
  <cp:lastModifiedBy>Windows User</cp:lastModifiedBy>
  <dcterms:created xsi:type="dcterms:W3CDTF">2018-10-25T04:16:23Z</dcterms:created>
  <dcterms:modified xsi:type="dcterms:W3CDTF">2019-11-12T07:57:04Z</dcterms:modified>
</cp:coreProperties>
</file>